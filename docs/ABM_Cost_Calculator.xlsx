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onthly Cost Calculator" sheetId="1" state="visible" r:id="rId1"/>
    <sheet name="Submission 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&quot;($&quot;#,##0.00\);\-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888888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6400"/>
      <sz val="10"/>
    </font>
    <font>
      <name val="Arial"/>
      <charset val="1"/>
      <family val="0"/>
      <b val="1"/>
      <color rgb="FFB45309"/>
      <sz val="10"/>
    </font>
    <font>
      <name val="Arial"/>
      <charset val="1"/>
      <family val="0"/>
      <i val="1"/>
      <color rgb="FF7C2D12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6400"/>
      <sz val="10"/>
    </font>
    <font>
      <name val="Arial"/>
      <charset val="1"/>
      <family val="0"/>
      <b val="1"/>
      <color rgb="FF1E3A5F"/>
      <sz val="10"/>
    </font>
    <font>
      <name val="Arial"/>
      <charset val="1"/>
      <family val="0"/>
      <i val="1"/>
      <color rgb="FF888888"/>
      <sz val="9"/>
    </font>
  </fonts>
  <fills count="12">
    <fill>
      <patternFill/>
    </fill>
    <fill>
      <patternFill patternType="gray125"/>
    </fill>
    <fill>
      <patternFill patternType="solid">
        <fgColor rgb="FF1E3A5F"/>
        <bgColor rgb="FF2C5282"/>
      </patternFill>
    </fill>
    <fill>
      <patternFill patternType="solid">
        <fgColor rgb="FF2C5282"/>
        <bgColor rgb="FF4A5568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FF6FF"/>
      </patternFill>
    </fill>
    <fill>
      <patternFill patternType="solid">
        <fgColor rgb="FFFFFF00"/>
        <bgColor rgb="FFFFFF00"/>
      </patternFill>
    </fill>
    <fill>
      <patternFill patternType="solid">
        <fgColor rgb="FFDBEAFE"/>
        <bgColor rgb="FFEFF6FF"/>
      </patternFill>
    </fill>
    <fill>
      <patternFill patternType="solid">
        <fgColor rgb="FFC8E6C9"/>
        <bgColor rgb="FFCCCCCC"/>
      </patternFill>
    </fill>
    <fill>
      <patternFill patternType="solid">
        <fgColor rgb="FFFFF9C4"/>
        <bgColor rgb="FFF5F5F5"/>
      </patternFill>
    </fill>
    <fill>
      <patternFill patternType="solid">
        <fgColor rgb="FFEFF6FF"/>
        <bgColor rgb="FFF5F5F5"/>
      </patternFill>
    </fill>
    <fill>
      <patternFill patternType="solid">
        <fgColor rgb="FFFFE0B2"/>
        <bgColor rgb="FFFFF9C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right" vertical="center" wrapText="1"/>
    </xf>
    <xf numFmtId="3" fontId="10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12" fillId="10" borderId="2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/>
    </xf>
    <xf numFmtId="164" fontId="13" fillId="4" borderId="1" applyAlignment="1" pivotButton="0" quotePrefix="0" xfId="0">
      <alignment horizontal="right" vertical="center"/>
    </xf>
    <xf numFmtId="0" fontId="13" fillId="5" borderId="2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0" fontId="6" fillId="2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17" fillId="2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general" vertical="bottom"/>
    </xf>
    <xf numFmtId="164" fontId="18" fillId="8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general" vertical="bottom"/>
    </xf>
    <xf numFmtId="0" fontId="13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right" vertical="center" wrapText="1"/>
    </xf>
    <xf numFmtId="0" fontId="12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right" vertical="center" wrapText="1"/>
    </xf>
    <xf numFmtId="0" fontId="9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right" vertical="center" wrapText="1"/>
    </xf>
    <xf numFmtId="0" fontId="12" fillId="1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49" fontId="20" fillId="11" borderId="1" applyAlignment="1" pivotButton="0" quotePrefix="0" xfId="0">
      <alignment horizontal="right" vertical="center"/>
    </xf>
    <xf numFmtId="49" fontId="20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right" vertical="center" wrapText="1"/>
    </xf>
    <xf numFmtId="3" fontId="10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164" fontId="13" fillId="7" borderId="1" applyAlignment="1" pivotButton="0" quotePrefix="0" xfId="0">
      <alignment horizontal="right" vertical="center"/>
    </xf>
    <xf numFmtId="164" fontId="14" fillId="8" borderId="1" applyAlignment="1" pivotButton="0" quotePrefix="0" xfId="0">
      <alignment horizontal="right" vertical="center"/>
    </xf>
    <xf numFmtId="164" fontId="13" fillId="9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12" fillId="10" borderId="2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left" vertical="center"/>
    </xf>
    <xf numFmtId="164" fontId="13" fillId="4" borderId="1" applyAlignment="1" pivotButton="0" quotePrefix="0" xfId="0">
      <alignment horizontal="right" vertical="center"/>
    </xf>
    <xf numFmtId="0" fontId="13" fillId="5" borderId="2" applyAlignment="1" pivotButton="0" quotePrefix="0" xfId="0">
      <alignment horizontal="left" vertical="center"/>
    </xf>
    <xf numFmtId="164" fontId="13" fillId="5" borderId="1" applyAlignment="1" pivotButton="0" quotePrefix="0" xfId="0">
      <alignment horizontal="right" vertical="center"/>
    </xf>
    <xf numFmtId="0" fontId="6" fillId="2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49" fontId="20" fillId="11" borderId="1" applyAlignment="1" pivotButton="0" quotePrefix="0" xfId="0">
      <alignment horizontal="right" vertical="center"/>
    </xf>
    <xf numFmtId="0" fontId="12" fillId="11" borderId="1" applyAlignment="1" pivotButton="0" quotePrefix="0" xfId="0">
      <alignment horizontal="left" vertical="center" wrapText="1"/>
    </xf>
    <xf numFmtId="49" fontId="20" fillId="8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2D6A4F"/>
      <rgbColor rgb="FFCCCCCC"/>
      <rgbColor rgb="FF888888"/>
      <rgbColor rgb="FF9999FF"/>
      <rgbColor rgb="FFB45309"/>
      <rgbColor rgb="FFFFF9C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C8E6C9"/>
      <rgbColor rgb="FFF5F5F5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7C2D12"/>
      <rgbColor rgb="FF993366"/>
      <rgbColor rgb="FF2C5282"/>
      <rgbColor rgb="FF4A556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E3A5F"/>
    <outlinePr summaryBelow="1" summaryRight="1"/>
    <pageSetUpPr fitToPage="0"/>
  </sheetPr>
  <dimension ref="A1:H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8" customWidth="1" style="66" min="2" max="2"/>
    <col width="14" customWidth="1" style="66" min="3" max="3"/>
    <col width="22" customWidth="1" style="66" min="4" max="4"/>
    <col width="16" customWidth="1" style="66" min="5" max="6"/>
    <col width="22" customWidth="1" style="66" min="7" max="7"/>
    <col width="28" customWidth="1" style="66" min="8" max="8"/>
  </cols>
  <sheetData>
    <row r="1" ht="30" customHeight="1" s="67">
      <c r="A1" s="68" t="inlineStr">
        <is>
          <t>Magical ABM Platform — Cost Calculator</t>
        </is>
      </c>
    </row>
    <row r="2" ht="18" customHeight="1" s="67">
      <c r="A2" s="69" t="inlineStr">
        <is>
          <t>Phase 1  |  Updated: May 2026  |  Yellow cells = editable estimates</t>
        </is>
      </c>
    </row>
    <row r="3" ht="15" customHeight="1" s="67">
      <c r="A3" s="66" t="n"/>
    </row>
    <row r="4" ht="15" customHeight="1" s="67">
      <c r="A4" s="70" t="inlineStr">
        <is>
          <t>1.  APIFY</t>
        </is>
      </c>
      <c r="B4" s="71" t="n"/>
      <c r="C4" s="71" t="n"/>
      <c r="D4" s="71" t="n"/>
      <c r="E4" s="71" t="n"/>
      <c r="F4" s="71" t="n"/>
      <c r="G4" s="71" t="n"/>
      <c r="H4" s="72" t="n"/>
    </row>
    <row r="5" ht="15" customHeight="1" s="67">
      <c r="A5" s="73" t="inlineStr">
        <is>
          <t>Actor / Item</t>
        </is>
      </c>
      <c r="B5" s="73" t="inlineStr">
        <is>
          <t>Unit</t>
        </is>
      </c>
      <c r="C5" s="73" t="inlineStr">
        <is>
          <t>Rate (USD)</t>
        </is>
      </c>
      <c r="D5" s="73" t="inlineStr">
        <is>
          <t>Est. Monthly Volume</t>
        </is>
      </c>
      <c r="E5" s="73" t="inlineStr">
        <is>
          <t>Actor Charges</t>
        </is>
      </c>
      <c r="F5" s="73" t="inlineStr">
        <is>
          <t>Notes</t>
        </is>
      </c>
    </row>
    <row r="6" ht="32.8" customHeight="1" s="67">
      <c r="A6" s="74" t="inlineStr">
        <is>
          <t>Subscription (always billed)</t>
        </is>
      </c>
      <c r="B6" s="75" t="inlineStr">
        <is>
          <t>flat/mo</t>
        </is>
      </c>
      <c r="C6" s="76" t="n">
        <v>29</v>
      </c>
      <c r="D6" s="77" t="inlineStr">
        <is>
          <t>—</t>
        </is>
      </c>
      <c r="E6" s="77" t="inlineStr">
        <is>
          <t>—</t>
        </is>
      </c>
      <c r="F6" s="78" t="inlineStr">
        <is>
          <t>Includes $29 credit applied against actor usage</t>
        </is>
      </c>
    </row>
    <row r="7" ht="32.8" customHeight="1" s="67">
      <c r="A7" s="79" t="inlineStr">
        <is>
          <t>Job Scraper</t>
        </is>
      </c>
      <c r="B7" s="80" t="inlineStr">
        <is>
          <t>per 1,000 jobs</t>
        </is>
      </c>
      <c r="C7" s="81" t="n">
        <v>1</v>
      </c>
      <c r="D7" s="82" t="n">
        <v>5000</v>
      </c>
      <c r="E7" s="83">
        <f>C7*(D7/1000)</f>
        <v/>
      </c>
      <c r="F7" s="84" t="inlineStr">
        <is>
          <t>RCM/HIT job postings — daily cron</t>
        </is>
      </c>
    </row>
    <row r="8" ht="22.35" customHeight="1" s="67">
      <c r="A8" s="85" t="inlineStr">
        <is>
          <t>LinkedIn Post Scraper</t>
        </is>
      </c>
      <c r="B8" s="75" t="inlineStr">
        <is>
          <t>per 1,000 posts</t>
        </is>
      </c>
      <c r="C8" s="76" t="n">
        <v>1</v>
      </c>
      <c r="D8" s="82" t="n">
        <v>3000</v>
      </c>
      <c r="E8" s="86">
        <f>C8*(D8/1000)</f>
        <v/>
      </c>
      <c r="F8" s="78" t="inlineStr">
        <is>
          <t>Conference attendance self-ID</t>
        </is>
      </c>
    </row>
    <row r="9" ht="22.35" customHeight="1" s="67">
      <c r="A9" s="79" t="inlineStr">
        <is>
          <t>LinkedIn Reaction Scraper</t>
        </is>
      </c>
      <c r="B9" s="80" t="inlineStr">
        <is>
          <t>per 1,000 reacts</t>
        </is>
      </c>
      <c r="C9" s="81" t="n">
        <v>2</v>
      </c>
      <c r="D9" s="82" t="n">
        <v>2000</v>
      </c>
      <c r="E9" s="83">
        <f>C9*(D9/1000)</f>
        <v/>
      </c>
      <c r="F9" s="84" t="inlineStr">
        <is>
          <t>Competitor content engagement</t>
        </is>
      </c>
    </row>
    <row r="10" ht="22.35" customHeight="1" s="67">
      <c r="A10" s="85" t="inlineStr">
        <is>
          <t>LinkedIn Comment Scraper</t>
        </is>
      </c>
      <c r="B10" s="75" t="inlineStr">
        <is>
          <t>per 1,000 commnts</t>
        </is>
      </c>
      <c r="C10" s="76" t="n">
        <v>1.4</v>
      </c>
      <c r="D10" s="82" t="n">
        <v>1000</v>
      </c>
      <c r="E10" s="86">
        <f>C10*(D10/1000)</f>
        <v/>
      </c>
      <c r="F10" s="78" t="inlineStr">
        <is>
          <t>Competitor content — richer signal</t>
        </is>
      </c>
    </row>
    <row r="11" ht="22.35" customHeight="1" s="67">
      <c r="A11" s="79" t="inlineStr">
        <is>
          <t>Crunchbase Scraper</t>
        </is>
      </c>
      <c r="B11" s="80" t="inlineStr">
        <is>
          <t>per 1,000 companies</t>
        </is>
      </c>
      <c r="C11" s="81" t="n">
        <v>13.98</v>
      </c>
      <c r="D11" s="82" t="n">
        <v>100</v>
      </c>
      <c r="E11" s="83">
        <f>C11*(D11/1000)</f>
        <v/>
      </c>
      <c r="F11" s="84" t="inlineStr">
        <is>
          <t>Funding rounds — small batches only</t>
        </is>
      </c>
    </row>
    <row r="12" ht="15" customHeight="1" s="67">
      <c r="A12" s="70" t="inlineStr">
        <is>
          <t>Subtotal Actor Charges</t>
        </is>
      </c>
      <c r="B12" s="71" t="n"/>
      <c r="C12" s="71" t="n"/>
      <c r="D12" s="72" t="n"/>
      <c r="E12" s="87">
        <f>SUM(E7:E11)</f>
        <v/>
      </c>
    </row>
    <row r="13" ht="15" customHeight="1" s="67">
      <c r="A13" s="70" t="inlineStr">
        <is>
          <t>Minus: Included $29 Credit</t>
        </is>
      </c>
      <c r="B13" s="71" t="n"/>
      <c r="C13" s="71" t="n"/>
      <c r="D13" s="72" t="n"/>
      <c r="E13" s="88">
        <f>-MIN(C6,E12)</f>
        <v/>
      </c>
    </row>
    <row r="14" ht="15" customHeight="1" s="67">
      <c r="A14" s="70" t="inlineStr">
        <is>
          <t>Net Actor Overage (above credit)</t>
        </is>
      </c>
      <c r="B14" s="71" t="n"/>
      <c r="C14" s="71" t="n"/>
      <c r="D14" s="72" t="n"/>
      <c r="E14" s="89">
        <f>MAX(0,E12-C6)</f>
        <v/>
      </c>
    </row>
    <row r="15" ht="15" customHeight="1" s="67">
      <c r="A15" s="70" t="inlineStr">
        <is>
          <t>TOTAL APIFY (subscription + overage)</t>
        </is>
      </c>
      <c r="B15" s="71" t="n"/>
      <c r="C15" s="71" t="n"/>
      <c r="D15" s="72" t="n"/>
      <c r="E15" s="90">
        <f>C6+E14</f>
        <v/>
      </c>
    </row>
    <row r="16" ht="15" customHeight="1" s="67">
      <c r="A16" s="91" t="inlineStr">
        <is>
          <t>Note: $29/mo subscription includes $29 in actor credits. Extra usage is billed on top. Credit cannot be carried over. At estimated mid-volume, actor charges ≈ $7.40 → fully covered by credit → Net overage = $0.</t>
        </is>
      </c>
      <c r="B16" s="71" t="n"/>
      <c r="C16" s="71" t="n"/>
      <c r="D16" s="71" t="n"/>
      <c r="E16" s="71" t="n"/>
      <c r="F16" s="71" t="n"/>
    </row>
    <row r="18" ht="15" customHeight="1" s="67">
      <c r="A18" s="70" t="inlineStr">
        <is>
          <t>2.  EXA  (Prepaid via Ramp)</t>
        </is>
      </c>
      <c r="B18" s="71" t="n"/>
      <c r="C18" s="71" t="n"/>
      <c r="D18" s="71" t="n"/>
      <c r="E18" s="71" t="n"/>
      <c r="F18" s="71" t="n"/>
      <c r="G18" s="71" t="n"/>
      <c r="H18" s="72" t="n"/>
    </row>
    <row r="19" ht="15" customHeight="1" s="67">
      <c r="A19" s="73" t="inlineStr">
        <is>
          <t>Item</t>
        </is>
      </c>
      <c r="B19" s="73" t="inlineStr">
        <is>
          <t>Type</t>
        </is>
      </c>
      <c r="C19" s="73" t="inlineStr">
        <is>
          <t>Monthly Cost</t>
        </is>
      </c>
      <c r="D19" s="73" t="inlineStr">
        <is>
          <t>Covers</t>
        </is>
      </c>
      <c r="E19" s="73" t="n"/>
      <c r="F19" s="73" t="inlineStr">
        <is>
          <t>Notes</t>
        </is>
      </c>
    </row>
    <row r="20" ht="23.85" customHeight="1" s="67">
      <c r="A20" s="85" t="inlineStr">
        <is>
          <t>EXA Search API</t>
        </is>
      </c>
      <c r="B20" s="75" t="inlineStr">
        <is>
          <t>Prepaid</t>
        </is>
      </c>
      <c r="C20" s="92" t="n">
        <v>25</v>
      </c>
      <c r="D20" s="93" t="inlineStr">
        <is>
          <t>News, press, M&amp;A, competitor intel, RFP signal monitoring</t>
        </is>
      </c>
      <c r="E20" s="71" t="n"/>
      <c r="F20" s="78" t="inlineStr">
        <is>
          <t>Submitted via Sunny's Ramp card</t>
        </is>
      </c>
    </row>
    <row r="22" ht="15" customHeight="1" s="67">
      <c r="A22" s="70" t="inlineStr">
        <is>
          <t>3.  COVERED / $0  — No action needed</t>
        </is>
      </c>
      <c r="B22" s="71" t="n"/>
      <c r="C22" s="71" t="n"/>
      <c r="D22" s="71" t="n"/>
      <c r="E22" s="71" t="n"/>
      <c r="F22" s="71" t="n"/>
      <c r="G22" s="71" t="n"/>
      <c r="H22" s="72" t="n"/>
    </row>
    <row r="23" ht="15" customHeight="1" s="67">
      <c r="A23" s="73" t="inlineStr">
        <is>
          <t>Tool</t>
        </is>
      </c>
      <c r="B23" s="73" t="inlineStr">
        <is>
          <t>Type</t>
        </is>
      </c>
      <c r="C23" s="73" t="inlineStr">
        <is>
          <t>Monthly Cost</t>
        </is>
      </c>
      <c r="D23" s="73" t="inlineStr">
        <is>
          <t>Notes</t>
        </is>
      </c>
      <c r="E23" s="73" t="n"/>
      <c r="F23" s="73" t="n"/>
    </row>
    <row r="24" ht="15" customHeight="1" s="67">
      <c r="A24" s="94" t="inlineStr">
        <is>
          <t>Railway (infra)</t>
        </is>
      </c>
      <c r="B24" s="95" t="inlineStr">
        <is>
          <t>Subscription</t>
        </is>
      </c>
      <c r="C24" s="96" t="inlineStr">
        <is>
          <t>Covered</t>
        </is>
      </c>
      <c r="D24" s="97" t="inlineStr">
        <is>
          <t>Postgres + Redis + FastAPI + Workers + Next.js</t>
        </is>
      </c>
      <c r="E24" s="71" t="n"/>
      <c r="F24" s="71" t="n"/>
    </row>
    <row r="25" ht="15" customHeight="1" s="67">
      <c r="A25" s="94" t="inlineStr">
        <is>
          <t>Claude API</t>
        </is>
      </c>
      <c r="B25" s="95" t="inlineStr">
        <is>
          <t>Usage-based</t>
        </is>
      </c>
      <c r="C25" s="96" t="inlineStr">
        <is>
          <t>Covered</t>
        </is>
      </c>
      <c r="D25" s="97" t="inlineStr">
        <is>
          <t>Scoring + engager resolution + signal extraction</t>
        </is>
      </c>
      <c r="E25" s="71" t="n"/>
      <c r="F25" s="71" t="n"/>
    </row>
    <row r="26" ht="15" customHeight="1" s="67">
      <c r="A26" s="94" t="inlineStr">
        <is>
          <t>Apollo API</t>
        </is>
      </c>
      <c r="B26" s="95" t="inlineStr">
        <is>
          <t>Subscription</t>
        </is>
      </c>
      <c r="C26" s="96" t="inlineStr">
        <is>
          <t>Covered</t>
        </is>
      </c>
      <c r="D26" s="97" t="inlineStr">
        <is>
          <t>Leadership changes + contact enrichment</t>
        </is>
      </c>
      <c r="E26" s="71" t="n"/>
      <c r="F26" s="71" t="n"/>
    </row>
    <row r="27" ht="15" customHeight="1" s="67">
      <c r="A27" s="94" t="inlineStr">
        <is>
          <t>Layoffs.fyi</t>
        </is>
      </c>
      <c r="B27" s="95" t="inlineStr">
        <is>
          <t>Public API</t>
        </is>
      </c>
      <c r="C27" s="96" t="inlineStr">
        <is>
          <t>$0</t>
        </is>
      </c>
      <c r="D27" s="97" t="inlineStr">
        <is>
          <t>Layoff announcements — free public feed</t>
        </is>
      </c>
      <c r="E27" s="71" t="n"/>
      <c r="F27" s="71" t="n"/>
    </row>
    <row r="28" ht="15" customHeight="1" s="67">
      <c r="A28" s="94" t="inlineStr">
        <is>
          <t>CMS.gov ACO data</t>
        </is>
      </c>
      <c r="B28" s="95" t="inlineStr">
        <is>
          <t>Public</t>
        </is>
      </c>
      <c r="C28" s="96" t="inlineStr">
        <is>
          <t>$0</t>
        </is>
      </c>
      <c r="D28" s="97" t="inlineStr">
        <is>
          <t>ACO contract entries — annual public CSV</t>
        </is>
      </c>
      <c r="E28" s="71" t="n"/>
      <c r="F28" s="71" t="n"/>
    </row>
    <row r="29" ht="15" customHeight="1" s="67">
      <c r="A29" s="94" t="inlineStr">
        <is>
          <t>SAM.gov RFPs</t>
        </is>
      </c>
      <c r="B29" s="95" t="inlineStr">
        <is>
          <t>Public</t>
        </is>
      </c>
      <c r="C29" s="96" t="inlineStr">
        <is>
          <t>$0</t>
        </is>
      </c>
      <c r="D29" s="97" t="inlineStr">
        <is>
          <t>Federal RFP monitoring — free</t>
        </is>
      </c>
      <c r="E29" s="71" t="n"/>
      <c r="F29" s="71" t="n"/>
    </row>
    <row r="30" ht="15" customHeight="1" s="67">
      <c r="A30" s="94" t="inlineStr">
        <is>
          <t>ProPublica 990</t>
        </is>
      </c>
      <c r="B30" s="95" t="inlineStr">
        <is>
          <t>Public</t>
        </is>
      </c>
      <c r="C30" s="96" t="inlineStr">
        <is>
          <t>$0</t>
        </is>
      </c>
      <c r="D30" s="97" t="inlineStr">
        <is>
          <t>Community hospital financial data — free</t>
        </is>
      </c>
      <c r="E30" s="71" t="n"/>
      <c r="F30" s="71" t="n"/>
    </row>
    <row r="32" ht="15" customHeight="1" s="67">
      <c r="A32" s="70" t="inlineStr">
        <is>
          <t>4.  TBD / PENDING CONFIRMATION</t>
        </is>
      </c>
      <c r="B32" s="71" t="n"/>
      <c r="C32" s="71" t="n"/>
      <c r="D32" s="71" t="n"/>
      <c r="E32" s="71" t="n"/>
      <c r="F32" s="71" t="n"/>
      <c r="G32" s="71" t="n"/>
      <c r="H32" s="72" t="n"/>
    </row>
    <row r="33" ht="22.35" customHeight="1" s="67">
      <c r="A33" s="73" t="inlineStr">
        <is>
          <t>Tool</t>
        </is>
      </c>
      <c r="B33" s="73" t="inlineStr">
        <is>
          <t>Type</t>
        </is>
      </c>
      <c r="C33" s="73" t="inlineStr">
        <is>
          <t>Est. Monthly Cost</t>
        </is>
      </c>
      <c r="D33" s="73" t="inlineStr">
        <is>
          <t>Blocker / Notes</t>
        </is>
      </c>
      <c r="E33" s="73" t="n"/>
      <c r="F33" s="73" t="n"/>
    </row>
    <row r="34" ht="23.85" customHeight="1" s="67">
      <c r="A34" s="98" t="inlineStr">
        <is>
          <t>Definitive Healthcare API</t>
        </is>
      </c>
      <c r="B34" s="99" t="inlineStr">
        <is>
          <t>Subscription</t>
        </is>
      </c>
      <c r="C34" s="100" t="inlineStr">
        <is>
          <t>TBD ($0–$3,000)</t>
        </is>
      </c>
      <c r="D34" s="101" t="inlineStr">
        <is>
          <t>CHECK EXISTING MAGICAL CONTRACT FIRST — may be $0 if already subscribed</t>
        </is>
      </c>
      <c r="E34" s="71" t="n"/>
      <c r="F34" s="71" t="n"/>
    </row>
    <row r="35" ht="15" customHeight="1" s="67">
      <c r="A35" s="98" t="inlineStr">
        <is>
          <t>BidNet / DemandStar (RFPs)</t>
        </is>
      </c>
      <c r="B35" s="99" t="inlineStr">
        <is>
          <t>Subscription</t>
        </is>
      </c>
      <c r="C35" s="100" t="inlineStr">
        <is>
          <t>~$30–50/mo</t>
        </is>
      </c>
      <c r="D35" s="101" t="inlineStr">
        <is>
          <t>State/local RFP monitoring — Phase 1.5, not blocking Phase 1</t>
        </is>
      </c>
      <c r="E35" s="71" t="n"/>
      <c r="F35" s="71" t="n"/>
    </row>
    <row r="36" ht="35.05" customHeight="1" s="67">
      <c r="A36" s="98" t="inlineStr">
        <is>
          <t>HeyReach</t>
        </is>
      </c>
      <c r="B36" s="99" t="inlineStr">
        <is>
          <t>Subscription (Phase 2)</t>
        </is>
      </c>
      <c r="C36" s="100" t="inlineStr">
        <is>
          <t>~$79–149/mo per LinkedIn sender</t>
        </is>
      </c>
      <c r="D36" s="101" t="inlineStr">
        <is>
          <t>Phase 2 only — start account warming now even if billing deferred</t>
        </is>
      </c>
      <c r="E36" s="71" t="n"/>
      <c r="F36" s="71" t="n"/>
    </row>
    <row r="37" ht="22.35" customHeight="1" s="67">
      <c r="A37" s="98" t="inlineStr">
        <is>
          <t>Reply.io webhooks</t>
        </is>
      </c>
      <c r="B37" s="99" t="inlineStr">
        <is>
          <t>Webhook config</t>
        </is>
      </c>
      <c r="C37" s="100" t="inlineStr">
        <is>
          <t>$0 additional</t>
        </is>
      </c>
      <c r="D37" s="101" t="inlineStr">
        <is>
          <t>Need webhook config permission from Reply.io admin — no extra cost if on existing plan</t>
        </is>
      </c>
      <c r="E37" s="71" t="n"/>
      <c r="F37" s="71" t="n"/>
    </row>
    <row r="39" ht="15" customHeight="1" s="67">
      <c r="A39" s="70" t="inlineStr">
        <is>
          <t>5.  MONTHLY TOTAL SUMMARY</t>
        </is>
      </c>
      <c r="B39" s="71" t="n"/>
      <c r="C39" s="71" t="n"/>
      <c r="D39" s="71" t="n"/>
      <c r="E39" s="71" t="n"/>
      <c r="F39" s="71" t="n"/>
      <c r="G39" s="71" t="n"/>
      <c r="H39" s="72" t="n"/>
    </row>
    <row r="40" ht="15" customHeight="1" s="67">
      <c r="A40" s="102" t="inlineStr">
        <is>
          <t>Confirmed Monthly — Apify</t>
        </is>
      </c>
      <c r="B40" s="71" t="n"/>
      <c r="C40" s="71" t="n"/>
      <c r="D40" s="71" t="n"/>
      <c r="E40" s="103">
        <f>E15</f>
        <v/>
      </c>
    </row>
    <row r="41" ht="15" customHeight="1" s="67">
      <c r="A41" s="104" t="inlineStr">
        <is>
          <t>Confirmed Monthly — EXA</t>
        </is>
      </c>
      <c r="B41" s="71" t="n"/>
      <c r="C41" s="71" t="n"/>
      <c r="D41" s="71" t="n"/>
      <c r="E41" s="105">
        <f>C20</f>
        <v/>
      </c>
    </row>
    <row r="42" ht="15" customHeight="1" s="67">
      <c r="A42" s="106" t="inlineStr">
        <is>
          <t>TOTAL CONFIRMED MONTHLY</t>
        </is>
      </c>
      <c r="B42" s="71" t="n"/>
      <c r="C42" s="71" t="n"/>
      <c r="D42" s="71" t="n"/>
      <c r="E42" s="90">
        <f>E15+C20</f>
        <v/>
      </c>
    </row>
    <row r="43" ht="15" customHeight="1" s="67">
      <c r="A43" s="106" t="inlineStr">
        <is>
          <t>TOTAL CONFIRMED ANNUAL</t>
        </is>
      </c>
      <c r="B43" s="71" t="n"/>
      <c r="C43" s="71" t="n"/>
      <c r="D43" s="71" t="n"/>
      <c r="E43" s="90">
        <f>(E15+C20)*12</f>
        <v/>
      </c>
    </row>
    <row r="44" ht="15" customHeight="1" s="67">
      <c r="A44" s="107" t="inlineStr">
        <is>
          <t>One-Time Setup Buffer (custom actor builds)</t>
        </is>
      </c>
      <c r="B44" s="71" t="n"/>
      <c r="C44" s="71" t="n"/>
      <c r="D44" s="71" t="n"/>
      <c r="E44" s="92" t="n">
        <v>200</v>
      </c>
    </row>
  </sheetData>
  <mergeCells count="30">
    <mergeCell ref="A16:F16"/>
    <mergeCell ref="D20:E20"/>
    <mergeCell ref="A39:H39"/>
    <mergeCell ref="D27:F27"/>
    <mergeCell ref="A43:D43"/>
    <mergeCell ref="A1:H1"/>
    <mergeCell ref="A13:D13"/>
    <mergeCell ref="A44:D44"/>
    <mergeCell ref="A40:D40"/>
    <mergeCell ref="D28:F28"/>
    <mergeCell ref="D37:F37"/>
    <mergeCell ref="A15:D15"/>
    <mergeCell ref="D30:F30"/>
    <mergeCell ref="D25:F25"/>
    <mergeCell ref="D24:F24"/>
    <mergeCell ref="A18:H18"/>
    <mergeCell ref="A3:H3"/>
    <mergeCell ref="D29:F29"/>
    <mergeCell ref="A2:H2"/>
    <mergeCell ref="D35:F35"/>
    <mergeCell ref="D26:F26"/>
    <mergeCell ref="A41:D41"/>
    <mergeCell ref="A32:H32"/>
    <mergeCell ref="D34:F34"/>
    <mergeCell ref="A22:H22"/>
    <mergeCell ref="A4:H4"/>
    <mergeCell ref="A12:D12"/>
    <mergeCell ref="D36:F36"/>
    <mergeCell ref="A42:D4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A5568"/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66" min="1" max="1"/>
    <col width="18" customWidth="1" style="66" min="2" max="2"/>
    <col width="14" customWidth="1" style="66" min="3" max="3"/>
    <col width="16" customWidth="1" style="66" min="4" max="5"/>
    <col width="18" customWidth="1" style="66" min="6" max="6"/>
    <col width="32" customWidth="1" style="66" min="7" max="7"/>
  </cols>
  <sheetData>
    <row r="1" ht="27.75" customHeight="1" s="67">
      <c r="A1" s="68" t="inlineStr">
        <is>
          <t>Cost Submission — Magical ABM Platform Phase 1</t>
        </is>
      </c>
    </row>
    <row r="2" ht="15" customHeight="1" s="67">
      <c r="A2" s="69" t="inlineStr">
        <is>
          <t>Prepared by: Sunny Dsouza  |  Date: May 2026  |  Submit to: Galyna (Procurement)</t>
        </is>
      </c>
    </row>
    <row r="3" ht="15" customHeight="1" s="67">
      <c r="A3" s="73" t="inlineStr">
        <is>
          <t>Item</t>
        </is>
      </c>
      <c r="B3" s="73" t="inlineStr">
        <is>
          <t>Vendor</t>
        </is>
      </c>
      <c r="C3" s="73" t="inlineStr">
        <is>
          <t>Type</t>
        </is>
      </c>
      <c r="D3" s="73" t="inlineStr">
        <is>
          <t>Monthly Cost</t>
        </is>
      </c>
      <c r="E3" s="73" t="inlineStr">
        <is>
          <t>Annual Cost</t>
        </is>
      </c>
      <c r="F3" s="73" t="inlineStr">
        <is>
          <t>Status</t>
        </is>
      </c>
      <c r="G3" s="73" t="inlineStr">
        <is>
          <t>Notes</t>
        </is>
      </c>
    </row>
    <row r="4" ht="22.35" customHeight="1" s="67">
      <c r="A4" s="108" t="inlineStr">
        <is>
          <t>Apify Subscription</t>
        </is>
      </c>
      <c r="B4" s="109" t="inlineStr">
        <is>
          <t>Apify</t>
        </is>
      </c>
      <c r="C4" s="109" t="inlineStr">
        <is>
          <t>Subscription</t>
        </is>
      </c>
      <c r="D4" s="92" t="n">
        <v>29</v>
      </c>
      <c r="E4" s="110">
        <f>D4*12</f>
        <v/>
      </c>
      <c r="F4" s="111" t="inlineStr">
        <is>
          <t>✅ SUBMIT</t>
        </is>
      </c>
      <c r="G4" s="112" t="inlineStr">
        <is>
          <t>Includes $29/mo actor credit — billed monthly</t>
        </is>
      </c>
    </row>
    <row r="5" ht="22.35" customHeight="1" s="67">
      <c r="A5" s="108" t="inlineStr">
        <is>
          <t>Apify Actor Usage (est. overage)</t>
        </is>
      </c>
      <c r="B5" s="109" t="inlineStr">
        <is>
          <t>Apify</t>
        </is>
      </c>
      <c r="C5" s="109" t="inlineStr">
        <is>
          <t>Usage-based</t>
        </is>
      </c>
      <c r="D5" s="92" t="n">
        <v>6</v>
      </c>
      <c r="E5" s="110">
        <f>D5*12</f>
        <v/>
      </c>
      <c r="F5" s="111" t="inlineStr">
        <is>
          <t>✅ SUBMIT</t>
        </is>
      </c>
      <c r="G5" s="112" t="inlineStr">
        <is>
          <t>Mid-volume estimate; variable. Credit covers low-volume months</t>
        </is>
      </c>
    </row>
    <row r="6" ht="23.85" customHeight="1" s="67">
      <c r="A6" s="108" t="inlineStr">
        <is>
          <t>EXA Search API</t>
        </is>
      </c>
      <c r="B6" s="109" t="inlineStr">
        <is>
          <t>EXA</t>
        </is>
      </c>
      <c r="C6" s="109" t="inlineStr">
        <is>
          <t>Prepaid</t>
        </is>
      </c>
      <c r="D6" s="92" t="n">
        <v>25</v>
      </c>
      <c r="E6" s="110">
        <f>D6*12</f>
        <v/>
      </c>
      <c r="F6" s="111" t="inlineStr">
        <is>
          <t>✅ SUBMIT VIA RAMP</t>
        </is>
      </c>
      <c r="G6" s="112" t="inlineStr">
        <is>
          <t>Sunny's Ramp card — $25/mo prepay</t>
        </is>
      </c>
    </row>
    <row r="7" ht="23.85" customHeight="1" s="67">
      <c r="A7" s="113" t="inlineStr">
        <is>
          <t>Definitive Healthcare API</t>
        </is>
      </c>
      <c r="B7" s="99" t="inlineStr">
        <is>
          <t>Definitive HC</t>
        </is>
      </c>
      <c r="C7" s="99" t="inlineStr">
        <is>
          <t>Subscription</t>
        </is>
      </c>
      <c r="D7" s="114" t="inlineStr">
        <is>
          <t>—</t>
        </is>
      </c>
      <c r="E7" s="114" t="inlineStr">
        <is>
          <t>—</t>
        </is>
      </c>
      <c r="F7" s="100" t="inlineStr">
        <is>
          <t>⚠️ CHECK CONTRACT</t>
        </is>
      </c>
      <c r="G7" s="115" t="inlineStr">
        <is>
          <t>Confirm if Magical already subscribes — could be $0</t>
        </is>
      </c>
    </row>
    <row r="8" ht="22.35" customHeight="1" s="67">
      <c r="A8" s="94" t="inlineStr">
        <is>
          <t>Railway (infra)</t>
        </is>
      </c>
      <c r="B8" s="95" t="inlineStr">
        <is>
          <t>Railway</t>
        </is>
      </c>
      <c r="C8" s="95" t="inlineStr">
        <is>
          <t>Subscription</t>
        </is>
      </c>
      <c r="D8" s="116" t="inlineStr">
        <is>
          <t>—</t>
        </is>
      </c>
      <c r="E8" s="116" t="inlineStr">
        <is>
          <t>—</t>
        </is>
      </c>
      <c r="F8" s="96" t="inlineStr">
        <is>
          <t>✅ COVERED</t>
        </is>
      </c>
      <c r="G8" s="117" t="inlineStr">
        <is>
          <t>Already approved — Postgres + Redis + API + Workers</t>
        </is>
      </c>
    </row>
    <row r="9" ht="22.35" customHeight="1" s="67">
      <c r="A9" s="94" t="inlineStr">
        <is>
          <t>Claude API</t>
        </is>
      </c>
      <c r="B9" s="95" t="inlineStr">
        <is>
          <t>Anthropic</t>
        </is>
      </c>
      <c r="C9" s="95" t="inlineStr">
        <is>
          <t>Usage-based</t>
        </is>
      </c>
      <c r="D9" s="116" t="inlineStr">
        <is>
          <t>—</t>
        </is>
      </c>
      <c r="E9" s="116" t="inlineStr">
        <is>
          <t>—</t>
        </is>
      </c>
      <c r="F9" s="96" t="inlineStr">
        <is>
          <t>✅ COVERED</t>
        </is>
      </c>
      <c r="G9" s="117" t="inlineStr">
        <is>
          <t>Already approved — scoring + resolution + signal extraction</t>
        </is>
      </c>
    </row>
    <row r="10" ht="22.35" customHeight="1" s="67">
      <c r="A10" s="94" t="inlineStr">
        <is>
          <t>Apollo API</t>
        </is>
      </c>
      <c r="B10" s="95" t="inlineStr">
        <is>
          <t>Apollo</t>
        </is>
      </c>
      <c r="C10" s="95" t="inlineStr">
        <is>
          <t>Subscription</t>
        </is>
      </c>
      <c r="D10" s="116" t="inlineStr">
        <is>
          <t>—</t>
        </is>
      </c>
      <c r="E10" s="116" t="inlineStr">
        <is>
          <t>—</t>
        </is>
      </c>
      <c r="F10" s="96" t="inlineStr">
        <is>
          <t>✅ COVERED</t>
        </is>
      </c>
      <c r="G10" s="117" t="inlineStr">
        <is>
          <t>Already approved — leadership changes + contact enrichment</t>
        </is>
      </c>
    </row>
    <row r="11" ht="22.35" customHeight="1" s="67">
      <c r="A11" s="94" t="inlineStr">
        <is>
          <t>Layoffs.fyi / CMS.gov / SAM.gov</t>
        </is>
      </c>
      <c r="B11" s="95" t="inlineStr">
        <is>
          <t>Various</t>
        </is>
      </c>
      <c r="C11" s="95" t="inlineStr">
        <is>
          <t>Free</t>
        </is>
      </c>
      <c r="D11" s="92" t="n">
        <v>0</v>
      </c>
      <c r="E11" s="118">
        <f>D11*12</f>
        <v/>
      </c>
      <c r="F11" s="96" t="inlineStr">
        <is>
          <t>✅ NO ACTION</t>
        </is>
      </c>
      <c r="G11" s="117" t="inlineStr">
        <is>
          <t>Public APIs — government-mandated disclosure</t>
        </is>
      </c>
    </row>
    <row r="12" ht="23.85" customHeight="1" s="67">
      <c r="A12" s="113" t="inlineStr">
        <is>
          <t>BidNet / DemandStar (RFPs)</t>
        </is>
      </c>
      <c r="B12" s="99" t="inlineStr">
        <is>
          <t>BidNet</t>
        </is>
      </c>
      <c r="C12" s="99" t="inlineStr">
        <is>
          <t>Subscription</t>
        </is>
      </c>
      <c r="D12" s="114" t="inlineStr">
        <is>
          <t>—</t>
        </is>
      </c>
      <c r="E12" s="114" t="inlineStr">
        <is>
          <t>—</t>
        </is>
      </c>
      <c r="F12" s="100" t="inlineStr">
        <is>
          <t>⏸️ PHASE 1.5 — DEFER</t>
        </is>
      </c>
      <c r="G12" s="115" t="inlineStr">
        <is>
          <t>~$30–50/mo — not needed for Phase 1 launch</t>
        </is>
      </c>
    </row>
    <row r="13" ht="23.85" customHeight="1" s="67">
      <c r="A13" s="113" t="inlineStr">
        <is>
          <t>HeyReach (LinkedIn automation)</t>
        </is>
      </c>
      <c r="B13" s="99" t="inlineStr">
        <is>
          <t>HeyReach</t>
        </is>
      </c>
      <c r="C13" s="99" t="inlineStr">
        <is>
          <t>Subscription</t>
        </is>
      </c>
      <c r="D13" s="114" t="inlineStr">
        <is>
          <t>—</t>
        </is>
      </c>
      <c r="E13" s="114" t="inlineStr">
        <is>
          <t>—</t>
        </is>
      </c>
      <c r="F13" s="100" t="inlineStr">
        <is>
          <t>⏸️ PHASE 2 — DEFER</t>
        </is>
      </c>
      <c r="G13" s="115" t="inlineStr">
        <is>
          <t>~$79–149/mo per sender — start account warming now</t>
        </is>
      </c>
    </row>
    <row r="15" ht="15" customHeight="1" s="67">
      <c r="A15" s="106" t="inlineStr">
        <is>
          <t>TOTAL CONFIRMED MONTHLY (submit now)</t>
        </is>
      </c>
      <c r="B15" s="71" t="n"/>
      <c r="C15" s="71" t="n"/>
      <c r="D15" s="90">
        <f>D4+D5+D6+D11</f>
        <v/>
      </c>
      <c r="E15" s="90">
        <f>D15*12</f>
        <v/>
      </c>
      <c r="F15" s="119" t="n"/>
      <c r="G15" s="119" t="n"/>
    </row>
    <row r="17" ht="15" customHeight="1" s="67">
      <c r="A17" s="91" t="inlineStr">
        <is>
          <t>Note 1: All Claude API, Apollo API, and Railway costs are covered under separate approvals. EXA submitted via Sunny's Ramp card. Apify — confirm procurement method (Ramp or direct invoice).</t>
        </is>
      </c>
      <c r="B17" s="71" t="n"/>
      <c r="C17" s="71" t="n"/>
      <c r="D17" s="71" t="n"/>
      <c r="E17" s="71" t="n"/>
      <c r="F17" s="71" t="n"/>
      <c r="G17" s="71" t="n"/>
    </row>
    <row r="18" ht="15" customHeight="1" s="67">
      <c r="A18" s="91" t="inlineStr">
        <is>
          <t>Note 2: Definitive Healthcare: check existing Magical contract BEFORE separate procurement. If contract exists, API access may be $0 additional.</t>
        </is>
      </c>
      <c r="B18" s="71" t="n"/>
      <c r="C18" s="71" t="n"/>
      <c r="D18" s="71" t="n"/>
      <c r="E18" s="71" t="n"/>
      <c r="F18" s="71" t="n"/>
      <c r="G18" s="71" t="n"/>
    </row>
    <row r="19" ht="15" customHeight="1" s="67">
      <c r="A19" s="91" t="inlineStr">
        <is>
          <t>Note 3: Phase 2 additions (flagged only — not current): HeyReach ~$79–149/mo, BidNet ~$40/mo. Total Phase 2 recurring: ~$340–590/mo.</t>
        </is>
      </c>
      <c r="B19" s="71" t="n"/>
      <c r="C19" s="71" t="n"/>
      <c r="D19" s="71" t="n"/>
      <c r="E19" s="71" t="n"/>
      <c r="F19" s="71" t="n"/>
      <c r="G19" s="71" t="n"/>
    </row>
  </sheetData>
  <mergeCells count="6">
    <mergeCell ref="A1:G1"/>
    <mergeCell ref="A17:G17"/>
    <mergeCell ref="A18:G18"/>
    <mergeCell ref="A2:G2"/>
    <mergeCell ref="A15:C15"/>
    <mergeCell ref="A19:G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en-CA</dc:language>
  <dcterms:created xsi:type="dcterms:W3CDTF">2026-05-28T20:28:38Z</dcterms:created>
  <dcterms:modified xsi:type="dcterms:W3CDTF">2026-05-28T20:34:51Z</dcterms:modified>
  <cp:revision>0</cp:revision>
</cp:coreProperties>
</file>